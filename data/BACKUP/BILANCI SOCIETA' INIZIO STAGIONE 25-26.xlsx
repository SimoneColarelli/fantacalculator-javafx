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<sst xmlns="http://schemas.openxmlformats.org/spreadsheetml/2006/main" count="20" uniqueCount="12">
  <si>
    <t>BILANCI SOCIETA' - BUDGET</t>
  </si>
  <si>
    <t>BUDGET MEDIO</t>
  </si>
  <si>
    <t>ATLETICO_ABUSIVO</t>
  </si>
  <si>
    <t>ZARRO_TEAM</t>
  </si>
  <si>
    <t>RED_DRAGON</t>
  </si>
  <si>
    <t>REAL_MADRINK</t>
  </si>
  <si>
    <t>SPAL_LETTI</t>
  </si>
  <si>
    <t>BAYERN_MUTEN</t>
  </si>
  <si>
    <t>I_CAMMELLONI</t>
  </si>
  <si>
    <t>BOMBERONI</t>
  </si>
  <si>
    <t>BILANCI SOCIETA' - PATRIMONIO</t>
  </si>
  <si>
    <t>PATRIMONIO 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</si>
</sst>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FFFFFF"/>
      <name val="Montserrat"/>
    </font>
    <font>
      <b/>
      <color rgb="FFFFFFFF"/>
      <name val="Montserrat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Border="1" applyFill="1" applyFont="1"/>
    <xf borderId="2" fillId="4" fontId="3" numFmtId="0" xfId="0" applyBorder="1" applyFont="1"/>
    <xf borderId="2" fillId="4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center" vertical="center"/>
    </xf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5.63"/>
    <col customWidth="1" min="3" max="3" width="16.75"/>
    <col customWidth="1" min="4" max="4" width="17.63"/>
    <col customWidth="1" min="5" max="5" width="14.63"/>
    <col customWidth="1" min="6" max="6" width="15.88"/>
    <col customWidth="1" min="7" max="7" width="16.75"/>
  </cols>
  <sheetData>
    <row r="1" ht="32.25" customHeight="1">
      <c r="A1" s="1" t="s">
        <v>0</v>
      </c>
      <c r="I1" s="2" t="s">
        <v>1</v>
      </c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4" t="s">
        <v>6</v>
      </c>
      <c r="F2" s="5" t="s">
        <v>7</v>
      </c>
      <c r="G2" s="4" t="s">
        <v>8</v>
      </c>
      <c r="H2" s="4" t="s">
        <v>9</v>
      </c>
    </row>
    <row r="3" ht="15.75" customHeight="1">
      <c r="A3" s="6">
        <f>506-399+1558</f>
        <v>1665</v>
      </c>
      <c r="B3" s="6">
        <f>315-30+390+1767</f>
        <v>2442</v>
      </c>
      <c r="C3" s="6">
        <f>4990-3014</f>
        <v>1976</v>
      </c>
      <c r="D3" s="6">
        <f>708+34</f>
        <v>742</v>
      </c>
      <c r="E3" s="6">
        <f>116-6+158+733</f>
        <v>1001</v>
      </c>
      <c r="F3" s="6">
        <f>4990-1429</f>
        <v>3561</v>
      </c>
      <c r="G3" s="6">
        <f>689+10+1325</f>
        <v>2024</v>
      </c>
      <c r="H3" s="6">
        <f>880-43+457</f>
        <v>1294</v>
      </c>
      <c r="I3" s="7">
        <f>ROUND(AVERAGE(A3:H3),0)</f>
        <v>1838</v>
      </c>
      <c r="J3" s="8"/>
    </row>
    <row r="4" ht="15.75" customHeight="1"/>
    <row r="5" ht="15.75" customHeight="1"/>
    <row r="6" ht="32.25" customHeight="1">
      <c r="A6" s="1" t="s">
        <v>10</v>
      </c>
      <c r="I6" s="2" t="s">
        <v>11</v>
      </c>
    </row>
    <row r="7" ht="15.75" customHeight="1">
      <c r="A7" s="3" t="s">
        <v>2</v>
      </c>
      <c r="B7" s="4" t="s">
        <v>3</v>
      </c>
      <c r="C7" s="5" t="s">
        <v>4</v>
      </c>
      <c r="D7" s="4" t="s">
        <v>5</v>
      </c>
      <c r="E7" s="4" t="s">
        <v>6</v>
      </c>
      <c r="F7" s="5" t="s">
        <v>7</v>
      </c>
      <c r="G7" s="4" t="s">
        <v>8</v>
      </c>
      <c r="H7" s="4" t="s">
        <v>9</v>
      </c>
    </row>
    <row r="8" ht="15.75" customHeight="1">
      <c r="A8" s="6">
        <f>506-399+1558+2560</f>
        <v>4225</v>
      </c>
      <c r="B8" s="6">
        <f>315-30+390+1767+3624</f>
        <v>6066</v>
      </c>
      <c r="C8" s="6">
        <v>4990.0</v>
      </c>
      <c r="D8" s="6">
        <f>708+34+4096</f>
        <v>4838</v>
      </c>
      <c r="E8" s="6">
        <f>116-6+158+733+2488</f>
        <v>3489</v>
      </c>
      <c r="F8" s="6">
        <v>4990.0</v>
      </c>
      <c r="G8" s="6">
        <f>689+10+1325+3977</f>
        <v>6001</v>
      </c>
      <c r="H8" s="6">
        <f>880-43+457+4027</f>
        <v>5321</v>
      </c>
      <c r="I8" s="7">
        <f>AVERAGE(G8:H8,E8,D8,B8,A8)</f>
        <v>4990</v>
      </c>
      <c r="J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I1:J2"/>
    <mergeCell ref="I3:J3"/>
    <mergeCell ref="A6:H6"/>
    <mergeCell ref="I6:J7"/>
    <mergeCell ref="I8:J8"/>
  </mergeCells>
  <drawing r:id="rId1"/>
</worksheet>
</file>